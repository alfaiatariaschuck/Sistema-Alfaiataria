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ção" sheetId="1" state="visible" r:id="rId3"/>
    <sheet name="Regras" sheetId="2" state="visible" r:id="rId4"/>
    <sheet name="Premissas" sheetId="3" state="visible" r:id="rId5"/>
    <sheet name="Seman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Média últimos 3 meses: 58. Set/26: 73. Com a expansão você projeta dobrar. Rampa conservadora.</t>
        </r>
      </text>
    </comment>
    <comment ref="A9" authorId="0">
      <text>
        <r>
          <rPr>
            <sz val="10"/>
            <rFont val="Arial"/>
            <family val="2"/>
          </rPr>
          <t xml:space="preserve">Estimativa: set/26 entraram ~R$ 81 mil no banco, dos quais ~R$ 54 mil camisas. Usei R$ 20 mil conservador.</t>
        </r>
      </text>
    </comment>
  </commentList>
</comments>
</file>

<file path=xl/sharedStrings.xml><?xml version="1.0" encoding="utf-8"?>
<sst xmlns="http://schemas.openxmlformats.org/spreadsheetml/2006/main" count="122" uniqueCount="111">
  <si>
    <t xml:space="preserve">Fluxo de caixa mensal — Out/26 a Mar/27</t>
  </si>
  <si>
    <t xml:space="preserve">Edite as linhas amarelas (vendas previstas). Custos vêm da aba Premissas.</t>
  </si>
  <si>
    <t xml:space="preserve">Out/26</t>
  </si>
  <si>
    <t xml:space="preserve">Nov/26</t>
  </si>
  <si>
    <t xml:space="preserve">Dez/26</t>
  </si>
  <si>
    <t xml:space="preserve">Jan/27</t>
  </si>
  <si>
    <t xml:space="preserve">Fev/27</t>
  </si>
  <si>
    <t xml:space="preserve">Mar/27</t>
  </si>
  <si>
    <t xml:space="preserve">Mês nº</t>
  </si>
  <si>
    <t xml:space="preserve">VENDAS</t>
  </si>
  <si>
    <t xml:space="preserve">Camisas vendidas (qtd)</t>
  </si>
  <si>
    <t xml:space="preserve">Receita camisas</t>
  </si>
  <si>
    <t xml:space="preserve">Receita alfaiataria (trajes, calças, ajustes)</t>
  </si>
  <si>
    <t xml:space="preserve">Total de vendas</t>
  </si>
  <si>
    <t xml:space="preserve">CUSTO DE PRODUÇÃO (vai para a conta 'Produção')</t>
  </si>
  <si>
    <t xml:space="preserve">Camisas: tecido + costura</t>
  </si>
  <si>
    <t xml:space="preserve">Camisas: taxas e comissões</t>
  </si>
  <si>
    <t xml:space="preserve">Alfaiataria: custo direto</t>
  </si>
  <si>
    <t xml:space="preserve">Total custo de produção</t>
  </si>
  <si>
    <t xml:space="preserve">CUSTOS FIXOS</t>
  </si>
  <si>
    <t xml:space="preserve">Aluguel ateliê</t>
  </si>
  <si>
    <t xml:space="preserve">Multi Locações</t>
  </si>
  <si>
    <t xml:space="preserve">Equipe fixa</t>
  </si>
  <si>
    <t xml:space="preserve">Luz, telefone, internet</t>
  </si>
  <si>
    <t xml:space="preserve">Plano de saúde</t>
  </si>
  <si>
    <t xml:space="preserve">Contador</t>
  </si>
  <si>
    <t xml:space="preserve">Sistemas</t>
  </si>
  <si>
    <t xml:space="preserve">Impostos (DAS)</t>
  </si>
  <si>
    <t xml:space="preserve">Transporte / estacionamento</t>
  </si>
  <si>
    <t xml:space="preserve">Marketing</t>
  </si>
  <si>
    <t xml:space="preserve">Total custos fixos</t>
  </si>
  <si>
    <t xml:space="preserve">SOBRA DA OPERAÇÃO</t>
  </si>
  <si>
    <t xml:space="preserve">VOCÊ, DÍVIDAS E INVESTIMENTO</t>
  </si>
  <si>
    <t xml:space="preserve">Retirada fixa (dias 5 e 20)</t>
  </si>
  <si>
    <t xml:space="preserve">Empréstimo</t>
  </si>
  <si>
    <t xml:space="preserve">Máquinas / mudança</t>
  </si>
  <si>
    <t xml:space="preserve">Total</t>
  </si>
  <si>
    <t xml:space="preserve">RESULTADO DO MÊS</t>
  </si>
  <si>
    <t xml:space="preserve">Saldo inicial</t>
  </si>
  <si>
    <t xml:space="preserve">SALDO FINAL DO MÊS</t>
  </si>
  <si>
    <t xml:space="preserve">Meta de reserva ((custo fixo + retirada) × meses)</t>
  </si>
  <si>
    <t xml:space="preserve">% da meta atingida</t>
  </si>
  <si>
    <t xml:space="preserve">Separar p/ conta Produção em cada venda (%)</t>
  </si>
  <si>
    <t xml:space="preserve">Camisas p/ pagar o aumento do aluguel</t>
  </si>
  <si>
    <t xml:space="preserve">As 4 regras de caixa da Schuck</t>
  </si>
  <si>
    <t xml:space="preserve">1</t>
  </si>
  <si>
    <t xml:space="preserve">Separar a produção: a cada venda recebida, transferir o % da linha 'Separar p/ conta Produção' (aba Projeção) para uma conta/reserva separada. Esse dinheiro só paga tecido, costura e taxas.</t>
  </si>
  <si>
    <t xml:space="preserve">2</t>
  </si>
  <si>
    <t xml:space="preserve">Retirada fixa: o valor da Premissas, pago em 2 datas (dia 5 e dia 20). Cartão pessoal sai de dentro dela. Nada de Pix avulso da conta PJ.</t>
  </si>
  <si>
    <t xml:space="preserve">3</t>
  </si>
  <si>
    <t xml:space="preserve">Parcela do empréstimo vira reserva: a partir de novembro, o que ia para o empréstimo fica guardado até bater a meta de 1 mês de custo fixo.</t>
  </si>
  <si>
    <t xml:space="preserve">4</t>
  </si>
  <si>
    <t xml:space="preserve">Investimento só com sobra: máquinas e mudança parceladas ou pagas com pré-venda de camisas. O que não for essencial para dobrar a produção espera a reserva.</t>
  </si>
  <si>
    <t xml:space="preserve">★</t>
  </si>
  <si>
    <t xml:space="preserve">Pré-venda: cada ~35 camisas extras vendidas pagam R$ 15 mil de máquinas. Cobrando 100% antecipado, o cliente financia a expansão.</t>
  </si>
  <si>
    <t xml:space="preserve">Schuck Alfaiataria — Premissas do fluxo de caixa</t>
  </si>
  <si>
    <t xml:space="preserve">Células em amarelo com número azul são para você editar. Todo o resto é calculado.</t>
  </si>
  <si>
    <t xml:space="preserve">CAIXA</t>
  </si>
  <si>
    <t xml:space="preserve">Saldo inicial em 01/10/2026</t>
  </si>
  <si>
    <t xml:space="preserve">Saldo do extrato BTG em 24/09. Troque pelo saldo real de 30/09.</t>
  </si>
  <si>
    <t xml:space="preserve">CAMISARIA</t>
  </si>
  <si>
    <t xml:space="preserve">Preço médio por camisa</t>
  </si>
  <si>
    <t xml:space="preserve">Seu sistema: Set/26 = R$ 54.334,59 ÷ 73 camisas.</t>
  </si>
  <si>
    <t xml:space="preserve">Custo direto por camisa (tecido + costura)</t>
  </si>
  <si>
    <t xml:space="preserve">Seu sistema: (Valor − Margem) ÷ 73 = R$ 261. Você confirmou que inclui a costura.</t>
  </si>
  <si>
    <t xml:space="preserve">Taxas/comissões por camisa</t>
  </si>
  <si>
    <t xml:space="preserve">Seu sistema: (Margem − Líquido) ÷ 73 = R$ 59,50.</t>
  </si>
  <si>
    <t xml:space="preserve">ALFAIATARIA (trajes, calças, ajustes)</t>
  </si>
  <si>
    <t xml:space="preserve">Custo direto da alfaiataria (% da venda)</t>
  </si>
  <si>
    <t xml:space="preserve">Estimativa conservadora — ajuste quando tiver o número do sistema.</t>
  </si>
  <si>
    <t xml:space="preserve">CUSTOS FIXOS MENSAIS</t>
  </si>
  <si>
    <t xml:space="preserve">Aluguel ateliê — atual</t>
  </si>
  <si>
    <t xml:space="preserve">Crédito Real, extrato set/26.</t>
  </si>
  <si>
    <t xml:space="preserve">Aluguel ateliê — novo</t>
  </si>
  <si>
    <t xml:space="preserve">Informado por você.</t>
  </si>
  <si>
    <t xml:space="preserve">Mês em que o aluguel novo começa (1=Out … 6=Mar)</t>
  </si>
  <si>
    <t xml:space="preserve">Você ainda não sabe; deixei novembro.</t>
  </si>
  <si>
    <t xml:space="preserve">Extrato: paga todo dia 1º (jul, ago, set). Confirmar o que é.</t>
  </si>
  <si>
    <t xml:space="preserve">Equipe fixa (Ícaro R$1.000/sem + Jair R$750/sem)</t>
  </si>
  <si>
    <t xml:space="preserve">Extrato: pagamentos semanais. Costura por peça já está no custo da camisa.</t>
  </si>
  <si>
    <t xml:space="preserve">Sistema, set/26.</t>
  </si>
  <si>
    <t xml:space="preserve">Unimed, set/26.</t>
  </si>
  <si>
    <t xml:space="preserve">Gerson Carvalho, set/26.</t>
  </si>
  <si>
    <t xml:space="preserve">Sistemas (MoldeMe etc.)</t>
  </si>
  <si>
    <t xml:space="preserve">Variou de R$ 147 a R$ 1.319 nos 3 meses; usei uma média conservadora.</t>
  </si>
  <si>
    <t xml:space="preserve">Uber, estacionamento, combustível — extrato set/26.</t>
  </si>
  <si>
    <t xml:space="preserve">VOCÊ E DÍVIDAS</t>
  </si>
  <si>
    <t xml:space="preserve">Retirada fixa mensal (inclui cartão pessoal)</t>
  </si>
  <si>
    <t xml:space="preserve">Regra: pagar em 2 datas (dia 5 e 20). Nada de Pix avulso.</t>
  </si>
  <si>
    <t xml:space="preserve">Empréstimo — saldo restante (pago em outubro)</t>
  </si>
  <si>
    <t xml:space="preserve">EXPANSÃO DA CAMISARIA</t>
  </si>
  <si>
    <t xml:space="preserve">Valor total máquinas + instalação + mudança</t>
  </si>
  <si>
    <t xml:space="preserve">Sua projeção (pode ficar menor).</t>
  </si>
  <si>
    <t xml:space="preserve">Nº de parcelas (1 = à vista)</t>
  </si>
  <si>
    <t xml:space="preserve">Troque para 1 e veja o cenário à vista.</t>
  </si>
  <si>
    <t xml:space="preserve">Mês do 1º pagamento (1=Out … 6=Mar)</t>
  </si>
  <si>
    <t xml:space="preserve">RESERVA</t>
  </si>
  <si>
    <t xml:space="preserve">Meta — meses de (custo fixo + retirada) guardados</t>
  </si>
  <si>
    <t xml:space="preserve">1 mês = aguentar um mês sem vender nada. Meta 2 = 2 meses.</t>
  </si>
  <si>
    <t xml:space="preserve">Acompanhamento semanal — preencha toda segunda-feira</t>
  </si>
  <si>
    <t xml:space="preserve">Amarelo = você preenche com o extrato. Meta de camisas = meta do mês ÷ semanas do mês.</t>
  </si>
  <si>
    <t xml:space="preserve">Semana (seg)</t>
  </si>
  <si>
    <t xml:space="preserve">Meta camisas</t>
  </si>
  <si>
    <t xml:space="preserve">Camisas vendidas</t>
  </si>
  <si>
    <t xml:space="preserve">Entradas (R$)</t>
  </si>
  <si>
    <t xml:space="preserve">Saídas (R$)</t>
  </si>
  <si>
    <t xml:space="preserve">Saldo no banco</t>
  </si>
  <si>
    <t xml:space="preserve">Separado p/ Produção</t>
  </si>
  <si>
    <t xml:space="preserve">Diferença vs meta camisas</t>
  </si>
  <si>
    <t xml:space="preserve">Observação</t>
  </si>
  <si>
    <t xml:space="preserve">Exemplo de preenchimento: semana 28/09 → Camisas 18 · Entradas 21.500 · Saídas 17.200 · Saldo 14.000 · Separado 7.500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</si>
</sst>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&quot;R$ &quot;#,##0;[RED]&quot;(R$ &quot;#,##0\);\-"/>
    <numFmt numFmtId="167" formatCode="0%"/>
    <numFmt numFmtId="168" formatCode="0.0"/>
    <numFmt numFmtId="169" formatCode="0.0%"/>
    <numFmt numFmtId="170" formatCode="dd/mm/yyyy"/>
    <numFmt numFmtId="171" formatCode="\+0;\-0;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2CC"/>
        <bgColor rgb="FFE7E6E6"/>
      </patternFill>
    </fill>
    <fill>
      <patternFill patternType="solid">
        <fgColor rgb="FFDDEBF7"/>
        <bgColor rgb="FFE7E6E6"/>
      </patternFill>
    </fill>
    <fill>
      <patternFill patternType="solid">
        <fgColor rgb="FFE7E6E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customFormat="false" ht="15" hidden="false" customHeight="false" outlineLevel="0" collapsed="false">
      <c r="A4" s="5" t="s">
        <v>8</v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</row>
    <row r="6" customFormat="false" ht="15" hidden="false" customHeight="false" outlineLevel="0" collapsed="false">
      <c r="A6" s="7" t="s">
        <v>9</v>
      </c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9" t="s">
        <v>10</v>
      </c>
      <c r="B7" s="10" t="n">
        <v>73</v>
      </c>
      <c r="C7" s="10" t="n">
        <v>85</v>
      </c>
      <c r="D7" s="10" t="n">
        <v>100</v>
      </c>
      <c r="E7" s="10" t="n">
        <v>80</v>
      </c>
      <c r="F7" s="10" t="n">
        <v>90</v>
      </c>
      <c r="G7" s="10" t="n">
        <v>110</v>
      </c>
    </row>
    <row r="8" customFormat="false" ht="15" hidden="false" customHeight="false" outlineLevel="0" collapsed="false">
      <c r="A8" s="9" t="s">
        <v>11</v>
      </c>
      <c r="B8" s="11" t="n">
        <f aca="false">B7*Premissas!$B$7</f>
        <v>54312</v>
      </c>
      <c r="C8" s="11" t="n">
        <f aca="false">C7*Premissas!$B$7</f>
        <v>63240</v>
      </c>
      <c r="D8" s="11" t="n">
        <f aca="false">D7*Premissas!$B$7</f>
        <v>74400</v>
      </c>
      <c r="E8" s="11" t="n">
        <f aca="false">E7*Premissas!$B$7</f>
        <v>59520</v>
      </c>
      <c r="F8" s="11" t="n">
        <f aca="false">F7*Premissas!$B$7</f>
        <v>66960</v>
      </c>
      <c r="G8" s="11" t="n">
        <f aca="false">G7*Premissas!$B$7</f>
        <v>81840</v>
      </c>
    </row>
    <row r="9" customFormat="false" ht="15" hidden="false" customHeight="false" outlineLevel="0" collapsed="false">
      <c r="A9" s="9" t="s">
        <v>12</v>
      </c>
      <c r="B9" s="12" t="n">
        <v>20000</v>
      </c>
      <c r="C9" s="12" t="n">
        <v>20000</v>
      </c>
      <c r="D9" s="12" t="n">
        <v>20000</v>
      </c>
      <c r="E9" s="12" t="n">
        <v>20000</v>
      </c>
      <c r="F9" s="12" t="n">
        <v>20000</v>
      </c>
      <c r="G9" s="12" t="n">
        <v>20000</v>
      </c>
    </row>
    <row r="10" customFormat="false" ht="15" hidden="false" customHeight="false" outlineLevel="0" collapsed="false">
      <c r="A10" s="13" t="s">
        <v>13</v>
      </c>
      <c r="B10" s="14" t="n">
        <f aca="false">B8+B9</f>
        <v>74312</v>
      </c>
      <c r="C10" s="14" t="n">
        <f aca="false">C8+C9</f>
        <v>83240</v>
      </c>
      <c r="D10" s="14" t="n">
        <f aca="false">D8+D9</f>
        <v>94400</v>
      </c>
      <c r="E10" s="14" t="n">
        <f aca="false">E8+E9</f>
        <v>79520</v>
      </c>
      <c r="F10" s="14" t="n">
        <f aca="false">F8+F9</f>
        <v>86960</v>
      </c>
      <c r="G10" s="14" t="n">
        <f aca="false">G8+G9</f>
        <v>101840</v>
      </c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7" t="s">
        <v>14</v>
      </c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9" t="s">
        <v>15</v>
      </c>
      <c r="B13" s="11" t="n">
        <f aca="false">B7*Premissas!$B$8</f>
        <v>19053</v>
      </c>
      <c r="C13" s="11" t="n">
        <f aca="false">C7*Premissas!$B$8</f>
        <v>22185</v>
      </c>
      <c r="D13" s="11" t="n">
        <f aca="false">D7*Premissas!$B$8</f>
        <v>26100</v>
      </c>
      <c r="E13" s="11" t="n">
        <f aca="false">E7*Premissas!$B$8</f>
        <v>20880</v>
      </c>
      <c r="F13" s="11" t="n">
        <f aca="false">F7*Premissas!$B$8</f>
        <v>23490</v>
      </c>
      <c r="G13" s="11" t="n">
        <f aca="false">G7*Premissas!$B$8</f>
        <v>28710</v>
      </c>
    </row>
    <row r="14" customFormat="false" ht="15" hidden="false" customHeight="false" outlineLevel="0" collapsed="false">
      <c r="A14" s="9" t="s">
        <v>16</v>
      </c>
      <c r="B14" s="11" t="n">
        <f aca="false">B7*Premissas!$B$9</f>
        <v>4343.5</v>
      </c>
      <c r="C14" s="11" t="n">
        <f aca="false">C7*Premissas!$B$9</f>
        <v>5057.5</v>
      </c>
      <c r="D14" s="11" t="n">
        <f aca="false">D7*Premissas!$B$9</f>
        <v>5950</v>
      </c>
      <c r="E14" s="11" t="n">
        <f aca="false">E7*Premissas!$B$9</f>
        <v>4760</v>
      </c>
      <c r="F14" s="11" t="n">
        <f aca="false">F7*Premissas!$B$9</f>
        <v>5355</v>
      </c>
      <c r="G14" s="11" t="n">
        <f aca="false">G7*Premissas!$B$9</f>
        <v>6545</v>
      </c>
    </row>
    <row r="15" customFormat="false" ht="15" hidden="false" customHeight="false" outlineLevel="0" collapsed="false">
      <c r="A15" s="9" t="s">
        <v>17</v>
      </c>
      <c r="B15" s="11" t="n">
        <f aca="false">B9*Premissas!$B$11</f>
        <v>7000</v>
      </c>
      <c r="C15" s="11" t="n">
        <f aca="false">C9*Premissas!$B$11</f>
        <v>7000</v>
      </c>
      <c r="D15" s="11" t="n">
        <f aca="false">D9*Premissas!$B$11</f>
        <v>7000</v>
      </c>
      <c r="E15" s="11" t="n">
        <f aca="false">E9*Premissas!$B$11</f>
        <v>7000</v>
      </c>
      <c r="F15" s="11" t="n">
        <f aca="false">F9*Premissas!$B$11</f>
        <v>7000</v>
      </c>
      <c r="G15" s="11" t="n">
        <f aca="false">G9*Premissas!$B$11</f>
        <v>7000</v>
      </c>
    </row>
    <row r="16" customFormat="false" ht="15" hidden="false" customHeight="false" outlineLevel="0" collapsed="false">
      <c r="A16" s="13" t="s">
        <v>18</v>
      </c>
      <c r="B16" s="14" t="n">
        <f aca="false">SUM(B13:B15)</f>
        <v>30396.5</v>
      </c>
      <c r="C16" s="14" t="n">
        <f aca="false">SUM(C13:C15)</f>
        <v>34242.5</v>
      </c>
      <c r="D16" s="14" t="n">
        <f aca="false">SUM(D13:D15)</f>
        <v>39050</v>
      </c>
      <c r="E16" s="14" t="n">
        <f aca="false">SUM(E13:E15)</f>
        <v>32640</v>
      </c>
      <c r="F16" s="14" t="n">
        <f aca="false">SUM(F13:F15)</f>
        <v>35845</v>
      </c>
      <c r="G16" s="14" t="n">
        <f aca="false">SUM(G13:G15)</f>
        <v>42255</v>
      </c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7" t="s">
        <v>19</v>
      </c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9" t="s">
        <v>20</v>
      </c>
      <c r="B19" s="11" t="n">
        <f aca="false">IF(B$4&gt;=Premissas!$B$15,Premissas!$B$14,Premissas!$B$13)</f>
        <v>1677.03</v>
      </c>
      <c r="C19" s="11" t="n">
        <f aca="false">IF(C$4&gt;=Premissas!$B$15,Premissas!$B$14,Premissas!$B$13)</f>
        <v>2400</v>
      </c>
      <c r="D19" s="11" t="n">
        <f aca="false">IF(D$4&gt;=Premissas!$B$15,Premissas!$B$14,Premissas!$B$13)</f>
        <v>2400</v>
      </c>
      <c r="E19" s="11" t="n">
        <f aca="false">IF(E$4&gt;=Premissas!$B$15,Premissas!$B$14,Premissas!$B$13)</f>
        <v>2400</v>
      </c>
      <c r="F19" s="11" t="n">
        <f aca="false">IF(F$4&gt;=Premissas!$B$15,Premissas!$B$14,Premissas!$B$13)</f>
        <v>2400</v>
      </c>
      <c r="G19" s="11" t="n">
        <f aca="false">IF(G$4&gt;=Premissas!$B$15,Premissas!$B$14,Premissas!$B$13)</f>
        <v>2400</v>
      </c>
    </row>
    <row r="20" customFormat="false" ht="15" hidden="false" customHeight="false" outlineLevel="0" collapsed="false">
      <c r="A20" s="9" t="s">
        <v>21</v>
      </c>
      <c r="B20" s="11" t="n">
        <f aca="false">Premissas!$B$16</f>
        <v>3674.63</v>
      </c>
      <c r="C20" s="11" t="n">
        <f aca="false">Premissas!$B$16</f>
        <v>3674.63</v>
      </c>
      <c r="D20" s="11" t="n">
        <f aca="false">Premissas!$B$16</f>
        <v>3674.63</v>
      </c>
      <c r="E20" s="11" t="n">
        <f aca="false">Premissas!$B$16</f>
        <v>3674.63</v>
      </c>
      <c r="F20" s="11" t="n">
        <f aca="false">Premissas!$B$16</f>
        <v>3674.63</v>
      </c>
      <c r="G20" s="11" t="n">
        <f aca="false">Premissas!$B$16</f>
        <v>3674.63</v>
      </c>
    </row>
    <row r="21" customFormat="false" ht="15" hidden="false" customHeight="false" outlineLevel="0" collapsed="false">
      <c r="A21" s="9" t="s">
        <v>22</v>
      </c>
      <c r="B21" s="11" t="n">
        <f aca="false">Premissas!$B$17</f>
        <v>7000</v>
      </c>
      <c r="C21" s="11" t="n">
        <f aca="false">Premissas!$B$17</f>
        <v>7000</v>
      </c>
      <c r="D21" s="11" t="n">
        <f aca="false">Premissas!$B$17</f>
        <v>7000</v>
      </c>
      <c r="E21" s="11" t="n">
        <f aca="false">Premissas!$B$17</f>
        <v>7000</v>
      </c>
      <c r="F21" s="11" t="n">
        <f aca="false">Premissas!$B$17</f>
        <v>7000</v>
      </c>
      <c r="G21" s="11" t="n">
        <f aca="false">Premissas!$B$17</f>
        <v>7000</v>
      </c>
    </row>
    <row r="22" customFormat="false" ht="15" hidden="false" customHeight="false" outlineLevel="0" collapsed="false">
      <c r="A22" s="9" t="s">
        <v>23</v>
      </c>
      <c r="B22" s="11" t="n">
        <f aca="false">Premissas!$B$18</f>
        <v>632.68</v>
      </c>
      <c r="C22" s="11" t="n">
        <f aca="false">Premissas!$B$18</f>
        <v>632.68</v>
      </c>
      <c r="D22" s="11" t="n">
        <f aca="false">Premissas!$B$18</f>
        <v>632.68</v>
      </c>
      <c r="E22" s="11" t="n">
        <f aca="false">Premissas!$B$18</f>
        <v>632.68</v>
      </c>
      <c r="F22" s="11" t="n">
        <f aca="false">Premissas!$B$18</f>
        <v>632.68</v>
      </c>
      <c r="G22" s="11" t="n">
        <f aca="false">Premissas!$B$18</f>
        <v>632.68</v>
      </c>
    </row>
    <row r="23" customFormat="false" ht="15" hidden="false" customHeight="false" outlineLevel="0" collapsed="false">
      <c r="A23" s="9" t="s">
        <v>24</v>
      </c>
      <c r="B23" s="11" t="n">
        <f aca="false">Premissas!$B$19</f>
        <v>573.22</v>
      </c>
      <c r="C23" s="11" t="n">
        <f aca="false">Premissas!$B$19</f>
        <v>573.22</v>
      </c>
      <c r="D23" s="11" t="n">
        <f aca="false">Premissas!$B$19</f>
        <v>573.22</v>
      </c>
      <c r="E23" s="11" t="n">
        <f aca="false">Premissas!$B$19</f>
        <v>573.22</v>
      </c>
      <c r="F23" s="11" t="n">
        <f aca="false">Premissas!$B$19</f>
        <v>573.22</v>
      </c>
      <c r="G23" s="11" t="n">
        <f aca="false">Premissas!$B$19</f>
        <v>573.22</v>
      </c>
    </row>
    <row r="24" customFormat="false" ht="15" hidden="false" customHeight="false" outlineLevel="0" collapsed="false">
      <c r="A24" s="9" t="s">
        <v>25</v>
      </c>
      <c r="B24" s="11" t="n">
        <f aca="false">Premissas!$B$20</f>
        <v>400</v>
      </c>
      <c r="C24" s="11" t="n">
        <f aca="false">Premissas!$B$20</f>
        <v>400</v>
      </c>
      <c r="D24" s="11" t="n">
        <f aca="false">Premissas!$B$20</f>
        <v>400</v>
      </c>
      <c r="E24" s="11" t="n">
        <f aca="false">Premissas!$B$20</f>
        <v>400</v>
      </c>
      <c r="F24" s="11" t="n">
        <f aca="false">Premissas!$B$20</f>
        <v>400</v>
      </c>
      <c r="G24" s="11" t="n">
        <f aca="false">Premissas!$B$20</f>
        <v>400</v>
      </c>
    </row>
    <row r="25" customFormat="false" ht="15" hidden="false" customHeight="false" outlineLevel="0" collapsed="false">
      <c r="A25" s="9" t="s">
        <v>26</v>
      </c>
      <c r="B25" s="11" t="n">
        <f aca="false">Premissas!$B$21</f>
        <v>698</v>
      </c>
      <c r="C25" s="11" t="n">
        <f aca="false">Premissas!$B$21</f>
        <v>698</v>
      </c>
      <c r="D25" s="11" t="n">
        <f aca="false">Premissas!$B$21</f>
        <v>698</v>
      </c>
      <c r="E25" s="11" t="n">
        <f aca="false">Premissas!$B$21</f>
        <v>698</v>
      </c>
      <c r="F25" s="11" t="n">
        <f aca="false">Premissas!$B$21</f>
        <v>698</v>
      </c>
      <c r="G25" s="11" t="n">
        <f aca="false">Premissas!$B$21</f>
        <v>698</v>
      </c>
    </row>
    <row r="26" customFormat="false" ht="15" hidden="false" customHeight="false" outlineLevel="0" collapsed="false">
      <c r="A26" s="9" t="s">
        <v>27</v>
      </c>
      <c r="B26" s="11" t="n">
        <f aca="false">Premissas!$B$22</f>
        <v>800</v>
      </c>
      <c r="C26" s="11" t="n">
        <f aca="false">Premissas!$B$22</f>
        <v>800</v>
      </c>
      <c r="D26" s="11" t="n">
        <f aca="false">Premissas!$B$22</f>
        <v>800</v>
      </c>
      <c r="E26" s="11" t="n">
        <f aca="false">Premissas!$B$22</f>
        <v>800</v>
      </c>
      <c r="F26" s="11" t="n">
        <f aca="false">Premissas!$B$22</f>
        <v>800</v>
      </c>
      <c r="G26" s="11" t="n">
        <f aca="false">Premissas!$B$22</f>
        <v>800</v>
      </c>
    </row>
    <row r="27" customFormat="false" ht="15" hidden="false" customHeight="false" outlineLevel="0" collapsed="false">
      <c r="A27" s="9" t="s">
        <v>28</v>
      </c>
      <c r="B27" s="11" t="n">
        <f aca="false">Premissas!$B$23</f>
        <v>1400</v>
      </c>
      <c r="C27" s="11" t="n">
        <f aca="false">Premissas!$B$23</f>
        <v>1400</v>
      </c>
      <c r="D27" s="11" t="n">
        <f aca="false">Premissas!$B$23</f>
        <v>1400</v>
      </c>
      <c r="E27" s="11" t="n">
        <f aca="false">Premissas!$B$23</f>
        <v>1400</v>
      </c>
      <c r="F27" s="11" t="n">
        <f aca="false">Premissas!$B$23</f>
        <v>1400</v>
      </c>
      <c r="G27" s="11" t="n">
        <f aca="false">Premissas!$B$23</f>
        <v>1400</v>
      </c>
    </row>
    <row r="28" customFormat="false" ht="15" hidden="false" customHeight="false" outlineLevel="0" collapsed="false">
      <c r="A28" s="9" t="s">
        <v>29</v>
      </c>
      <c r="B28" s="11" t="n">
        <f aca="false">Premissas!$B$24</f>
        <v>1050</v>
      </c>
      <c r="C28" s="11" t="n">
        <f aca="false">Premissas!$B$24</f>
        <v>1050</v>
      </c>
      <c r="D28" s="11" t="n">
        <f aca="false">Premissas!$B$24</f>
        <v>1050</v>
      </c>
      <c r="E28" s="11" t="n">
        <f aca="false">Premissas!$B$24</f>
        <v>1050</v>
      </c>
      <c r="F28" s="11" t="n">
        <f aca="false">Premissas!$B$24</f>
        <v>1050</v>
      </c>
      <c r="G28" s="11" t="n">
        <f aca="false">Premissas!$B$24</f>
        <v>1050</v>
      </c>
    </row>
    <row r="29" customFormat="false" ht="15" hidden="false" customHeight="false" outlineLevel="0" collapsed="false">
      <c r="A29" s="13" t="s">
        <v>30</v>
      </c>
      <c r="B29" s="14" t="n">
        <f aca="false">SUM(B19:B28)</f>
        <v>17905.56</v>
      </c>
      <c r="C29" s="14" t="n">
        <f aca="false">SUM(C19:C28)</f>
        <v>18628.53</v>
      </c>
      <c r="D29" s="14" t="n">
        <f aca="false">SUM(D19:D28)</f>
        <v>18628.53</v>
      </c>
      <c r="E29" s="14" t="n">
        <f aca="false">SUM(E19:E28)</f>
        <v>18628.53</v>
      </c>
      <c r="F29" s="14" t="n">
        <f aca="false">SUM(F19:F28)</f>
        <v>18628.53</v>
      </c>
      <c r="G29" s="14" t="n">
        <f aca="false">SUM(G19:G28)</f>
        <v>18628.53</v>
      </c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A31" s="15" t="s">
        <v>31</v>
      </c>
      <c r="B31" s="16" t="n">
        <f aca="false">B10-B16-B29</f>
        <v>26009.94</v>
      </c>
      <c r="C31" s="16" t="n">
        <f aca="false">C10-C16-C29</f>
        <v>30368.97</v>
      </c>
      <c r="D31" s="16" t="n">
        <f aca="false">D10-D16-D29</f>
        <v>36721.47</v>
      </c>
      <c r="E31" s="16" t="n">
        <f aca="false">E10-E16-E29</f>
        <v>28251.47</v>
      </c>
      <c r="F31" s="16" t="n">
        <f aca="false">F10-F16-F29</f>
        <v>32486.47</v>
      </c>
      <c r="G31" s="16" t="n">
        <f aca="false">G10-G16-G29</f>
        <v>40956.47</v>
      </c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</row>
    <row r="33" customFormat="false" ht="15" hidden="false" customHeight="false" outlineLevel="0" collapsed="false">
      <c r="A33" s="7" t="s">
        <v>32</v>
      </c>
      <c r="B33" s="8"/>
      <c r="C33" s="8"/>
      <c r="D33" s="8"/>
      <c r="E33" s="8"/>
      <c r="F33" s="8"/>
      <c r="G33" s="8"/>
    </row>
    <row r="34" customFormat="false" ht="15" hidden="false" customHeight="false" outlineLevel="0" collapsed="false">
      <c r="A34" s="9" t="s">
        <v>33</v>
      </c>
      <c r="B34" s="11" t="n">
        <f aca="false">Premissas!$B$26</f>
        <v>20000</v>
      </c>
      <c r="C34" s="11" t="n">
        <f aca="false">Premissas!$B$26</f>
        <v>20000</v>
      </c>
      <c r="D34" s="11" t="n">
        <f aca="false">Premissas!$B$26</f>
        <v>20000</v>
      </c>
      <c r="E34" s="11" t="n">
        <f aca="false">Premissas!$B$26</f>
        <v>20000</v>
      </c>
      <c r="F34" s="11" t="n">
        <f aca="false">Premissas!$B$26</f>
        <v>20000</v>
      </c>
      <c r="G34" s="11" t="n">
        <f aca="false">Premissas!$B$26</f>
        <v>20000</v>
      </c>
    </row>
    <row r="35" customFormat="false" ht="15" hidden="false" customHeight="false" outlineLevel="0" collapsed="false">
      <c r="A35" s="9" t="s">
        <v>34</v>
      </c>
      <c r="B35" s="11" t="n">
        <f aca="false">IF(B$4=1,Premissas!$B$27,0)</f>
        <v>2400</v>
      </c>
      <c r="C35" s="11" t="n">
        <f aca="false">IF(C$4=1,Premissas!$B$27,0)</f>
        <v>0</v>
      </c>
      <c r="D35" s="11" t="n">
        <f aca="false">IF(D$4=1,Premissas!$B$27,0)</f>
        <v>0</v>
      </c>
      <c r="E35" s="11" t="n">
        <f aca="false">IF(E$4=1,Premissas!$B$27,0)</f>
        <v>0</v>
      </c>
      <c r="F35" s="11" t="n">
        <f aca="false">IF(F$4=1,Premissas!$B$27,0)</f>
        <v>0</v>
      </c>
      <c r="G35" s="11" t="n">
        <f aca="false">IF(G$4=1,Premissas!$B$27,0)</f>
        <v>0</v>
      </c>
    </row>
    <row r="36" customFormat="false" ht="15" hidden="false" customHeight="false" outlineLevel="0" collapsed="false">
      <c r="A36" s="9" t="s">
        <v>35</v>
      </c>
      <c r="B36" s="11" t="n">
        <f aca="false">IF(AND(B$4&gt;=Premissas!$B$31,B$4&lt;Premissas!$B$31+Premissas!$B$30),Premissas!$B$29/Premissas!$B$30,0)</f>
        <v>2500</v>
      </c>
      <c r="C36" s="11" t="n">
        <f aca="false">IF(AND(C$4&gt;=Premissas!$B$31,C$4&lt;Premissas!$B$31+Premissas!$B$30),Premissas!$B$29/Premissas!$B$30,0)</f>
        <v>2500</v>
      </c>
      <c r="D36" s="11" t="n">
        <f aca="false">IF(AND(D$4&gt;=Premissas!$B$31,D$4&lt;Premissas!$B$31+Premissas!$B$30),Premissas!$B$29/Premissas!$B$30,0)</f>
        <v>2500</v>
      </c>
      <c r="E36" s="11" t="n">
        <f aca="false">IF(AND(E$4&gt;=Premissas!$B$31,E$4&lt;Premissas!$B$31+Premissas!$B$30),Premissas!$B$29/Premissas!$B$30,0)</f>
        <v>2500</v>
      </c>
      <c r="F36" s="11" t="n">
        <f aca="false">IF(AND(F$4&gt;=Premissas!$B$31,F$4&lt;Premissas!$B$31+Premissas!$B$30),Premissas!$B$29/Premissas!$B$30,0)</f>
        <v>2500</v>
      </c>
      <c r="G36" s="11" t="n">
        <f aca="false">IF(AND(G$4&gt;=Premissas!$B$31,G$4&lt;Premissas!$B$31+Premissas!$B$30),Premissas!$B$29/Premissas!$B$30,0)</f>
        <v>2500</v>
      </c>
    </row>
    <row r="37" customFormat="false" ht="15" hidden="false" customHeight="false" outlineLevel="0" collapsed="false">
      <c r="A37" s="13" t="s">
        <v>36</v>
      </c>
      <c r="B37" s="14" t="n">
        <f aca="false">SUM(B34:B36)</f>
        <v>24900</v>
      </c>
      <c r="C37" s="14" t="n">
        <f aca="false">SUM(C34:C36)</f>
        <v>22500</v>
      </c>
      <c r="D37" s="14" t="n">
        <f aca="false">SUM(D34:D36)</f>
        <v>22500</v>
      </c>
      <c r="E37" s="14" t="n">
        <f aca="false">SUM(E34:E36)</f>
        <v>22500</v>
      </c>
      <c r="F37" s="14" t="n">
        <f aca="false">SUM(F34:F36)</f>
        <v>22500</v>
      </c>
      <c r="G37" s="14" t="n">
        <f aca="false">SUM(G34:G36)</f>
        <v>22500</v>
      </c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</row>
    <row r="39" customFormat="false" ht="15" hidden="false" customHeight="false" outlineLevel="0" collapsed="false">
      <c r="A39" s="15" t="s">
        <v>37</v>
      </c>
      <c r="B39" s="16" t="n">
        <f aca="false">B31-B37</f>
        <v>1109.94</v>
      </c>
      <c r="C39" s="16" t="n">
        <f aca="false">C31-C37</f>
        <v>7868.97</v>
      </c>
      <c r="D39" s="16" t="n">
        <f aca="false">D31-D37</f>
        <v>14221.47</v>
      </c>
      <c r="E39" s="16" t="n">
        <f aca="false">E31-E37</f>
        <v>5751.47</v>
      </c>
      <c r="F39" s="16" t="n">
        <f aca="false">F31-F37</f>
        <v>9986.47</v>
      </c>
      <c r="G39" s="16" t="n">
        <f aca="false">G31-G37</f>
        <v>18456.47</v>
      </c>
    </row>
    <row r="40" customFormat="false" ht="15" hidden="false" customHeight="false" outlineLevel="0" collapsed="false">
      <c r="A40" s="9" t="s">
        <v>38</v>
      </c>
      <c r="B40" s="11" t="n">
        <f aca="false">Premissas!$B$5</f>
        <v>9709.81</v>
      </c>
      <c r="C40" s="11" t="n">
        <f aca="false">B41</f>
        <v>10819.75</v>
      </c>
      <c r="D40" s="11" t="n">
        <f aca="false">C41</f>
        <v>18688.72</v>
      </c>
      <c r="E40" s="11" t="n">
        <f aca="false">D41</f>
        <v>32910.19</v>
      </c>
      <c r="F40" s="11" t="n">
        <f aca="false">E41</f>
        <v>38661.66</v>
      </c>
      <c r="G40" s="11" t="n">
        <f aca="false">F41</f>
        <v>48648.13</v>
      </c>
    </row>
    <row r="41" customFormat="false" ht="15" hidden="false" customHeight="false" outlineLevel="0" collapsed="false">
      <c r="A41" s="15" t="s">
        <v>39</v>
      </c>
      <c r="B41" s="16" t="n">
        <f aca="false">B40+B39</f>
        <v>10819.75</v>
      </c>
      <c r="C41" s="16" t="n">
        <f aca="false">C40+C39</f>
        <v>18688.72</v>
      </c>
      <c r="D41" s="16" t="n">
        <f aca="false">D40+D39</f>
        <v>32910.19</v>
      </c>
      <c r="E41" s="16" t="n">
        <f aca="false">E40+E39</f>
        <v>38661.66</v>
      </c>
      <c r="F41" s="16" t="n">
        <f aca="false">F40+F39</f>
        <v>48648.13</v>
      </c>
      <c r="G41" s="16" t="n">
        <f aca="false">G40+G39</f>
        <v>67104.6</v>
      </c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</row>
    <row r="43" customFormat="false" ht="15" hidden="false" customHeight="false" outlineLevel="0" collapsed="false">
      <c r="A43" s="9" t="s">
        <v>40</v>
      </c>
      <c r="B43" s="11" t="n">
        <f aca="false">(B29+B34)*Premissas!$B$33</f>
        <v>37905.56</v>
      </c>
      <c r="C43" s="11" t="n">
        <f aca="false">(C29+C34)*Premissas!$B$33</f>
        <v>38628.53</v>
      </c>
      <c r="D43" s="11" t="n">
        <f aca="false">(D29+D34)*Premissas!$B$33</f>
        <v>38628.53</v>
      </c>
      <c r="E43" s="11" t="n">
        <f aca="false">(E29+E34)*Premissas!$B$33</f>
        <v>38628.53</v>
      </c>
      <c r="F43" s="11" t="n">
        <f aca="false">(F29+F34)*Premissas!$B$33</f>
        <v>38628.53</v>
      </c>
      <c r="G43" s="11" t="n">
        <f aca="false">(G29+G34)*Premissas!$B$33</f>
        <v>38628.53</v>
      </c>
    </row>
    <row r="44" customFormat="false" ht="15" hidden="false" customHeight="false" outlineLevel="0" collapsed="false">
      <c r="A44" s="9" t="s">
        <v>41</v>
      </c>
      <c r="B44" s="17" t="n">
        <f aca="false">IF(B43=0,0,B41/B43)</f>
        <v>0.285439655818302</v>
      </c>
      <c r="C44" s="17" t="n">
        <f aca="false">IF(C43=0,0,C41/C43)</f>
        <v>0.483806140176704</v>
      </c>
      <c r="D44" s="17" t="n">
        <f aca="false">IF(D43=0,0,D41/D43)</f>
        <v>0.851965891531467</v>
      </c>
      <c r="E44" s="17" t="n">
        <f aca="false">IF(E43=0,0,E41/E43)</f>
        <v>1.00085765624527</v>
      </c>
      <c r="F44" s="17" t="n">
        <f aca="false">IF(F43=0,0,F41/F43)</f>
        <v>1.25938341427955</v>
      </c>
      <c r="G44" s="17" t="n">
        <f aca="false">IF(G43=0,0,G41/G43)</f>
        <v>1.73717715895479</v>
      </c>
    </row>
    <row r="45" customFormat="false" ht="15" hidden="false" customHeight="false" outlineLevel="0" collapsed="false">
      <c r="A45" s="9" t="s">
        <v>42</v>
      </c>
      <c r="B45" s="17" t="n">
        <f aca="false">IF(B10=0,0,B16/B10)</f>
        <v>0.409038916998601</v>
      </c>
      <c r="C45" s="17" t="n">
        <f aca="false">IF(C10=0,0,C16/C10)</f>
        <v>0.41137073522345</v>
      </c>
      <c r="D45" s="17" t="n">
        <f aca="false">IF(D10=0,0,D16/D10)</f>
        <v>0.413665254237288</v>
      </c>
      <c r="E45" s="17" t="n">
        <f aca="false">IF(E10=0,0,E16/E10)</f>
        <v>0.41046277665996</v>
      </c>
      <c r="F45" s="17" t="n">
        <f aca="false">IF(F10=0,0,F16/F10)</f>
        <v>0.412201011959522</v>
      </c>
      <c r="G45" s="17" t="n">
        <f aca="false">IF(G10=0,0,G16/G10)</f>
        <v>0.414915553809898</v>
      </c>
    </row>
    <row r="46" customFormat="false" ht="15" hidden="false" customHeight="false" outlineLevel="0" collapsed="false">
      <c r="A46" s="9" t="s">
        <v>43</v>
      </c>
      <c r="B46" s="18" t="n">
        <f aca="false">(Premissas!$B$14-Premissas!$B$13)/(Premissas!$B$7-Premissas!$B$8-Premissas!$B$9)</f>
        <v>1.70713105076741</v>
      </c>
      <c r="C46" s="18" t="n">
        <f aca="false">(Premissas!$B$14-Premissas!$B$13)/(Premissas!$B$7-Premissas!$B$8-Premissas!$B$9)</f>
        <v>1.70713105076741</v>
      </c>
      <c r="D46" s="18" t="n">
        <f aca="false">(Premissas!$B$14-Premissas!$B$13)/(Premissas!$B$7-Premissas!$B$8-Premissas!$B$9)</f>
        <v>1.70713105076741</v>
      </c>
      <c r="E46" s="18" t="n">
        <f aca="false">(Premissas!$B$14-Premissas!$B$13)/(Premissas!$B$7-Premissas!$B$8-Premissas!$B$9)</f>
        <v>1.70713105076741</v>
      </c>
      <c r="F46" s="18" t="n">
        <f aca="false">(Premissas!$B$14-Premissas!$B$13)/(Premissas!$B$7-Premissas!$B$8-Premissas!$B$9)</f>
        <v>1.70713105076741</v>
      </c>
      <c r="G46" s="18" t="n">
        <f aca="false">(Premissas!$B$14-Premissas!$B$13)/(Premissas!$B$7-Premissas!$B$8-Premissas!$B$9)</f>
        <v>1.70713105076741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</cols>
  <sheetData>
    <row r="1" customFormat="false" ht="17.35" hidden="false" customHeight="false" outlineLevel="0" collapsed="false">
      <c r="B1" s="1" t="s">
        <v>44</v>
      </c>
    </row>
    <row r="3" customFormat="false" ht="31.5" hidden="false" customHeight="true" outlineLevel="0" collapsed="false">
      <c r="A3" s="19" t="s">
        <v>45</v>
      </c>
      <c r="B3" s="20" t="s">
        <v>46</v>
      </c>
    </row>
    <row r="5" customFormat="false" ht="31.5" hidden="false" customHeight="true" outlineLevel="0" collapsed="false">
      <c r="A5" s="19" t="s">
        <v>47</v>
      </c>
      <c r="B5" s="20" t="s">
        <v>48</v>
      </c>
    </row>
    <row r="7" customFormat="false" ht="31.5" hidden="false" customHeight="true" outlineLevel="0" collapsed="false">
      <c r="A7" s="19" t="s">
        <v>49</v>
      </c>
      <c r="B7" s="20" t="s">
        <v>50</v>
      </c>
    </row>
    <row r="9" customFormat="false" ht="31.5" hidden="false" customHeight="true" outlineLevel="0" collapsed="false">
      <c r="A9" s="19" t="s">
        <v>51</v>
      </c>
      <c r="B9" s="20" t="s">
        <v>52</v>
      </c>
    </row>
    <row r="11" customFormat="false" ht="31.5" hidden="false" customHeight="true" outlineLevel="0" collapsed="false">
      <c r="A11" s="19" t="s">
        <v>53</v>
      </c>
      <c r="B11" s="2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5" t="s">
        <v>57</v>
      </c>
      <c r="B4" s="3"/>
      <c r="C4" s="3"/>
    </row>
    <row r="5" customFormat="false" ht="15" hidden="false" customHeight="false" outlineLevel="0" collapsed="false">
      <c r="A5" s="21" t="s">
        <v>58</v>
      </c>
      <c r="B5" s="22" t="n">
        <v>9709.81</v>
      </c>
      <c r="C5" s="2" t="s">
        <v>59</v>
      </c>
    </row>
    <row r="6" customFormat="false" ht="15" hidden="false" customHeight="false" outlineLevel="0" collapsed="false">
      <c r="A6" s="5" t="s">
        <v>60</v>
      </c>
      <c r="B6" s="3"/>
      <c r="C6" s="3"/>
    </row>
    <row r="7" customFormat="false" ht="15" hidden="false" customHeight="false" outlineLevel="0" collapsed="false">
      <c r="A7" s="21" t="s">
        <v>61</v>
      </c>
      <c r="B7" s="22" t="n">
        <v>744</v>
      </c>
      <c r="C7" s="2" t="s">
        <v>62</v>
      </c>
    </row>
    <row r="8" customFormat="false" ht="15" hidden="false" customHeight="false" outlineLevel="0" collapsed="false">
      <c r="A8" s="21" t="s">
        <v>63</v>
      </c>
      <c r="B8" s="22" t="n">
        <v>261</v>
      </c>
      <c r="C8" s="2" t="s">
        <v>64</v>
      </c>
    </row>
    <row r="9" customFormat="false" ht="15" hidden="false" customHeight="false" outlineLevel="0" collapsed="false">
      <c r="A9" s="21" t="s">
        <v>65</v>
      </c>
      <c r="B9" s="22" t="n">
        <v>59.5</v>
      </c>
      <c r="C9" s="2" t="s">
        <v>66</v>
      </c>
    </row>
    <row r="10" customFormat="false" ht="15" hidden="false" customHeight="false" outlineLevel="0" collapsed="false">
      <c r="A10" s="5" t="s">
        <v>67</v>
      </c>
      <c r="B10" s="3"/>
      <c r="C10" s="3"/>
    </row>
    <row r="11" customFormat="false" ht="15" hidden="false" customHeight="false" outlineLevel="0" collapsed="false">
      <c r="A11" s="21" t="s">
        <v>68</v>
      </c>
      <c r="B11" s="23" t="n">
        <v>0.35</v>
      </c>
      <c r="C11" s="2" t="s">
        <v>69</v>
      </c>
    </row>
    <row r="12" customFormat="false" ht="15" hidden="false" customHeight="false" outlineLevel="0" collapsed="false">
      <c r="A12" s="5" t="s">
        <v>70</v>
      </c>
      <c r="B12" s="3"/>
      <c r="C12" s="3"/>
    </row>
    <row r="13" customFormat="false" ht="15" hidden="false" customHeight="false" outlineLevel="0" collapsed="false">
      <c r="A13" s="21" t="s">
        <v>71</v>
      </c>
      <c r="B13" s="22" t="n">
        <v>1677.03</v>
      </c>
      <c r="C13" s="2" t="s">
        <v>72</v>
      </c>
    </row>
    <row r="14" customFormat="false" ht="15" hidden="false" customHeight="false" outlineLevel="0" collapsed="false">
      <c r="A14" s="21" t="s">
        <v>73</v>
      </c>
      <c r="B14" s="22" t="n">
        <v>2400</v>
      </c>
      <c r="C14" s="2" t="s">
        <v>74</v>
      </c>
    </row>
    <row r="15" customFormat="false" ht="15" hidden="false" customHeight="false" outlineLevel="0" collapsed="false">
      <c r="A15" s="21" t="s">
        <v>75</v>
      </c>
      <c r="B15" s="24" t="n">
        <v>2</v>
      </c>
      <c r="C15" s="2" t="s">
        <v>76</v>
      </c>
    </row>
    <row r="16" customFormat="false" ht="15" hidden="false" customHeight="false" outlineLevel="0" collapsed="false">
      <c r="A16" s="21" t="s">
        <v>21</v>
      </c>
      <c r="B16" s="22" t="n">
        <v>3674.63</v>
      </c>
      <c r="C16" s="2" t="s">
        <v>77</v>
      </c>
    </row>
    <row r="17" customFormat="false" ht="15" hidden="false" customHeight="false" outlineLevel="0" collapsed="false">
      <c r="A17" s="21" t="s">
        <v>78</v>
      </c>
      <c r="B17" s="22" t="n">
        <v>7000</v>
      </c>
      <c r="C17" s="2" t="s">
        <v>79</v>
      </c>
    </row>
    <row r="18" customFormat="false" ht="15" hidden="false" customHeight="false" outlineLevel="0" collapsed="false">
      <c r="A18" s="21" t="s">
        <v>23</v>
      </c>
      <c r="B18" s="22" t="n">
        <v>632.68</v>
      </c>
      <c r="C18" s="2" t="s">
        <v>80</v>
      </c>
    </row>
    <row r="19" customFormat="false" ht="15" hidden="false" customHeight="false" outlineLevel="0" collapsed="false">
      <c r="A19" s="21" t="s">
        <v>24</v>
      </c>
      <c r="B19" s="22" t="n">
        <v>573.22</v>
      </c>
      <c r="C19" s="2" t="s">
        <v>81</v>
      </c>
    </row>
    <row r="20" customFormat="false" ht="15" hidden="false" customHeight="false" outlineLevel="0" collapsed="false">
      <c r="A20" s="21" t="s">
        <v>25</v>
      </c>
      <c r="B20" s="22" t="n">
        <v>400</v>
      </c>
      <c r="C20" s="2" t="s">
        <v>82</v>
      </c>
    </row>
    <row r="21" customFormat="false" ht="15" hidden="false" customHeight="false" outlineLevel="0" collapsed="false">
      <c r="A21" s="21" t="s">
        <v>83</v>
      </c>
      <c r="B21" s="22" t="n">
        <v>698</v>
      </c>
      <c r="C21" s="2" t="s">
        <v>80</v>
      </c>
    </row>
    <row r="22" customFormat="false" ht="15" hidden="false" customHeight="false" outlineLevel="0" collapsed="false">
      <c r="A22" s="21" t="s">
        <v>27</v>
      </c>
      <c r="B22" s="22" t="n">
        <v>800</v>
      </c>
      <c r="C22" s="2" t="s">
        <v>84</v>
      </c>
    </row>
    <row r="23" customFormat="false" ht="15" hidden="false" customHeight="false" outlineLevel="0" collapsed="false">
      <c r="A23" s="21" t="s">
        <v>28</v>
      </c>
      <c r="B23" s="22" t="n">
        <v>1400</v>
      </c>
      <c r="C23" s="2" t="s">
        <v>85</v>
      </c>
    </row>
    <row r="24" customFormat="false" ht="15" hidden="false" customHeight="false" outlineLevel="0" collapsed="false">
      <c r="A24" s="21" t="s">
        <v>29</v>
      </c>
      <c r="B24" s="22" t="n">
        <v>1050</v>
      </c>
      <c r="C24" s="2" t="s">
        <v>80</v>
      </c>
    </row>
    <row r="25" customFormat="false" ht="15" hidden="false" customHeight="false" outlineLevel="0" collapsed="false">
      <c r="A25" s="5" t="s">
        <v>86</v>
      </c>
      <c r="B25" s="3"/>
      <c r="C25" s="3"/>
    </row>
    <row r="26" customFormat="false" ht="15" hidden="false" customHeight="false" outlineLevel="0" collapsed="false">
      <c r="A26" s="21" t="s">
        <v>87</v>
      </c>
      <c r="B26" s="22" t="n">
        <v>20000</v>
      </c>
      <c r="C26" s="2" t="s">
        <v>88</v>
      </c>
    </row>
    <row r="27" customFormat="false" ht="15" hidden="false" customHeight="false" outlineLevel="0" collapsed="false">
      <c r="A27" s="21" t="s">
        <v>89</v>
      </c>
      <c r="B27" s="22" t="n">
        <v>2400</v>
      </c>
      <c r="C27" s="2" t="s">
        <v>74</v>
      </c>
    </row>
    <row r="28" customFormat="false" ht="15" hidden="false" customHeight="false" outlineLevel="0" collapsed="false">
      <c r="A28" s="5" t="s">
        <v>90</v>
      </c>
      <c r="B28" s="3"/>
      <c r="C28" s="3"/>
    </row>
    <row r="29" customFormat="false" ht="15" hidden="false" customHeight="false" outlineLevel="0" collapsed="false">
      <c r="A29" s="21" t="s">
        <v>91</v>
      </c>
      <c r="B29" s="22" t="n">
        <v>15000</v>
      </c>
      <c r="C29" s="2" t="s">
        <v>92</v>
      </c>
    </row>
    <row r="30" customFormat="false" ht="15" hidden="false" customHeight="false" outlineLevel="0" collapsed="false">
      <c r="A30" s="21" t="s">
        <v>93</v>
      </c>
      <c r="B30" s="24" t="n">
        <v>6</v>
      </c>
      <c r="C30" s="2" t="s">
        <v>94</v>
      </c>
    </row>
    <row r="31" customFormat="false" ht="15" hidden="false" customHeight="false" outlineLevel="0" collapsed="false">
      <c r="A31" s="21" t="s">
        <v>95</v>
      </c>
      <c r="B31" s="24" t="n">
        <v>1</v>
      </c>
      <c r="C31" s="2"/>
    </row>
    <row r="32" customFormat="false" ht="15" hidden="false" customHeight="false" outlineLevel="0" collapsed="false">
      <c r="A32" s="5" t="s">
        <v>96</v>
      </c>
      <c r="B32" s="3"/>
      <c r="C32" s="3"/>
    </row>
    <row r="33" customFormat="false" ht="15" hidden="false" customHeight="false" outlineLevel="0" collapsed="false">
      <c r="A33" s="21" t="s">
        <v>97</v>
      </c>
      <c r="B33" s="24" t="n">
        <v>1</v>
      </c>
      <c r="C33" s="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23.85" hidden="false" customHeight="false" outlineLevel="0" collapsed="false">
      <c r="A4" s="25" t="s">
        <v>101</v>
      </c>
      <c r="B4" s="25" t="s">
        <v>8</v>
      </c>
      <c r="C4" s="25" t="s">
        <v>102</v>
      </c>
      <c r="D4" s="25" t="s">
        <v>103</v>
      </c>
      <c r="E4" s="25" t="s">
        <v>104</v>
      </c>
      <c r="F4" s="25" t="s">
        <v>105</v>
      </c>
      <c r="G4" s="25" t="s">
        <v>106</v>
      </c>
      <c r="H4" s="25" t="s">
        <v>107</v>
      </c>
      <c r="I4" s="25" t="s">
        <v>108</v>
      </c>
      <c r="J4" s="25" t="s">
        <v>109</v>
      </c>
    </row>
    <row r="5" customFormat="false" ht="15" hidden="false" customHeight="false" outlineLevel="0" collapsed="false">
      <c r="A5" s="26" t="n">
        <v>46293</v>
      </c>
      <c r="B5" s="9" t="n">
        <v>1</v>
      </c>
      <c r="C5" s="27" t="n">
        <f aca="false">INDEX(Projeção!$B$7:$G$7,B5)/COUNTIF($B$5:$B$18,B5)</f>
        <v>14.6</v>
      </c>
      <c r="D5" s="10"/>
      <c r="E5" s="12"/>
      <c r="F5" s="12"/>
      <c r="G5" s="12"/>
      <c r="H5" s="12"/>
      <c r="I5" s="28" t="str">
        <f aca="false">IF(D5="","",D5-C5)</f>
        <v/>
      </c>
      <c r="J5" s="29"/>
    </row>
    <row r="6" customFormat="false" ht="15" hidden="false" customHeight="false" outlineLevel="0" collapsed="false">
      <c r="A6" s="26" t="n">
        <v>46300</v>
      </c>
      <c r="B6" s="9" t="n">
        <v>1</v>
      </c>
      <c r="C6" s="27" t="n">
        <f aca="false">INDEX(Projeção!$B$7:$G$7,B6)/COUNTIF($B$5:$B$18,B6)</f>
        <v>14.6</v>
      </c>
      <c r="D6" s="10"/>
      <c r="E6" s="12"/>
      <c r="F6" s="12"/>
      <c r="G6" s="12"/>
      <c r="H6" s="12"/>
      <c r="I6" s="28" t="str">
        <f aca="false">IF(D6="","",D6-C6)</f>
        <v/>
      </c>
      <c r="J6" s="29"/>
    </row>
    <row r="7" customFormat="false" ht="15" hidden="false" customHeight="false" outlineLevel="0" collapsed="false">
      <c r="A7" s="26" t="n">
        <v>46307</v>
      </c>
      <c r="B7" s="9" t="n">
        <v>1</v>
      </c>
      <c r="C7" s="27" t="n">
        <f aca="false">INDEX(Projeção!$B$7:$G$7,B7)/COUNTIF($B$5:$B$18,B7)</f>
        <v>14.6</v>
      </c>
      <c r="D7" s="10"/>
      <c r="E7" s="12"/>
      <c r="F7" s="12"/>
      <c r="G7" s="12"/>
      <c r="H7" s="12"/>
      <c r="I7" s="28" t="str">
        <f aca="false">IF(D7="","",D7-C7)</f>
        <v/>
      </c>
      <c r="J7" s="29"/>
    </row>
    <row r="8" customFormat="false" ht="15" hidden="false" customHeight="false" outlineLevel="0" collapsed="false">
      <c r="A8" s="26" t="n">
        <v>46314</v>
      </c>
      <c r="B8" s="9" t="n">
        <v>1</v>
      </c>
      <c r="C8" s="27" t="n">
        <f aca="false">INDEX(Projeção!$B$7:$G$7,B8)/COUNTIF($B$5:$B$18,B8)</f>
        <v>14.6</v>
      </c>
      <c r="D8" s="10"/>
      <c r="E8" s="12"/>
      <c r="F8" s="12"/>
      <c r="G8" s="12"/>
      <c r="H8" s="12"/>
      <c r="I8" s="28" t="str">
        <f aca="false">IF(D8="","",D8-C8)</f>
        <v/>
      </c>
      <c r="J8" s="29"/>
    </row>
    <row r="9" customFormat="false" ht="15" hidden="false" customHeight="false" outlineLevel="0" collapsed="false">
      <c r="A9" s="26" t="n">
        <v>46321</v>
      </c>
      <c r="B9" s="9" t="n">
        <v>1</v>
      </c>
      <c r="C9" s="27" t="n">
        <f aca="false">INDEX(Projeção!$B$7:$G$7,B9)/COUNTIF($B$5:$B$18,B9)</f>
        <v>14.6</v>
      </c>
      <c r="D9" s="10"/>
      <c r="E9" s="12"/>
      <c r="F9" s="12"/>
      <c r="G9" s="12"/>
      <c r="H9" s="12"/>
      <c r="I9" s="28" t="str">
        <f aca="false">IF(D9="","",D9-C9)</f>
        <v/>
      </c>
      <c r="J9" s="29"/>
    </row>
    <row r="10" customFormat="false" ht="15" hidden="false" customHeight="false" outlineLevel="0" collapsed="false">
      <c r="A10" s="26" t="n">
        <v>46328</v>
      </c>
      <c r="B10" s="9" t="n">
        <v>2</v>
      </c>
      <c r="C10" s="27" t="n">
        <f aca="false">INDEX(Projeção!$B$7:$G$7,B10)/COUNTIF($B$5:$B$18,B10)</f>
        <v>21.25</v>
      </c>
      <c r="D10" s="10"/>
      <c r="E10" s="12"/>
      <c r="F10" s="12"/>
      <c r="G10" s="12"/>
      <c r="H10" s="12"/>
      <c r="I10" s="28" t="str">
        <f aca="false">IF(D10="","",D10-C10)</f>
        <v/>
      </c>
      <c r="J10" s="29"/>
    </row>
    <row r="11" customFormat="false" ht="15" hidden="false" customHeight="false" outlineLevel="0" collapsed="false">
      <c r="A11" s="26" t="n">
        <v>46335</v>
      </c>
      <c r="B11" s="9" t="n">
        <v>2</v>
      </c>
      <c r="C11" s="27" t="n">
        <f aca="false">INDEX(Projeção!$B$7:$G$7,B11)/COUNTIF($B$5:$B$18,B11)</f>
        <v>21.25</v>
      </c>
      <c r="D11" s="10"/>
      <c r="E11" s="12"/>
      <c r="F11" s="12"/>
      <c r="G11" s="12"/>
      <c r="H11" s="12"/>
      <c r="I11" s="28" t="str">
        <f aca="false">IF(D11="","",D11-C11)</f>
        <v/>
      </c>
      <c r="J11" s="29"/>
    </row>
    <row r="12" customFormat="false" ht="15" hidden="false" customHeight="false" outlineLevel="0" collapsed="false">
      <c r="A12" s="26" t="n">
        <v>46342</v>
      </c>
      <c r="B12" s="9" t="n">
        <v>2</v>
      </c>
      <c r="C12" s="27" t="n">
        <f aca="false">INDEX(Projeção!$B$7:$G$7,B12)/COUNTIF($B$5:$B$18,B12)</f>
        <v>21.25</v>
      </c>
      <c r="D12" s="10"/>
      <c r="E12" s="12"/>
      <c r="F12" s="12"/>
      <c r="G12" s="12"/>
      <c r="H12" s="12"/>
      <c r="I12" s="28" t="str">
        <f aca="false">IF(D12="","",D12-C12)</f>
        <v/>
      </c>
      <c r="J12" s="29"/>
    </row>
    <row r="13" customFormat="false" ht="15" hidden="false" customHeight="false" outlineLevel="0" collapsed="false">
      <c r="A13" s="26" t="n">
        <v>46349</v>
      </c>
      <c r="B13" s="9" t="n">
        <v>2</v>
      </c>
      <c r="C13" s="27" t="n">
        <f aca="false">INDEX(Projeção!$B$7:$G$7,B13)/COUNTIF($B$5:$B$18,B13)</f>
        <v>21.25</v>
      </c>
      <c r="D13" s="10"/>
      <c r="E13" s="12"/>
      <c r="F13" s="12"/>
      <c r="G13" s="12"/>
      <c r="H13" s="12"/>
      <c r="I13" s="28" t="str">
        <f aca="false">IF(D13="","",D13-C13)</f>
        <v/>
      </c>
      <c r="J13" s="29"/>
    </row>
    <row r="14" customFormat="false" ht="15" hidden="false" customHeight="false" outlineLevel="0" collapsed="false">
      <c r="A14" s="26" t="n">
        <v>46356</v>
      </c>
      <c r="B14" s="9" t="n">
        <v>3</v>
      </c>
      <c r="C14" s="27" t="n">
        <f aca="false">INDEX(Projeção!$B$7:$G$7,B14)/COUNTIF($B$5:$B$18,B14)</f>
        <v>20</v>
      </c>
      <c r="D14" s="10"/>
      <c r="E14" s="12"/>
      <c r="F14" s="12"/>
      <c r="G14" s="12"/>
      <c r="H14" s="12"/>
      <c r="I14" s="28" t="str">
        <f aca="false">IF(D14="","",D14-C14)</f>
        <v/>
      </c>
      <c r="J14" s="29"/>
    </row>
    <row r="15" customFormat="false" ht="15" hidden="false" customHeight="false" outlineLevel="0" collapsed="false">
      <c r="A15" s="26" t="n">
        <v>46363</v>
      </c>
      <c r="B15" s="9" t="n">
        <v>3</v>
      </c>
      <c r="C15" s="27" t="n">
        <f aca="false">INDEX(Projeção!$B$7:$G$7,B15)/COUNTIF($B$5:$B$18,B15)</f>
        <v>20</v>
      </c>
      <c r="D15" s="10"/>
      <c r="E15" s="12"/>
      <c r="F15" s="12"/>
      <c r="G15" s="12"/>
      <c r="H15" s="12"/>
      <c r="I15" s="28" t="str">
        <f aca="false">IF(D15="","",D15-C15)</f>
        <v/>
      </c>
      <c r="J15" s="29"/>
    </row>
    <row r="16" customFormat="false" ht="15" hidden="false" customHeight="false" outlineLevel="0" collapsed="false">
      <c r="A16" s="26" t="n">
        <v>46370</v>
      </c>
      <c r="B16" s="9" t="n">
        <v>3</v>
      </c>
      <c r="C16" s="27" t="n">
        <f aca="false">INDEX(Projeção!$B$7:$G$7,B16)/COUNTIF($B$5:$B$18,B16)</f>
        <v>20</v>
      </c>
      <c r="D16" s="10"/>
      <c r="E16" s="12"/>
      <c r="F16" s="12"/>
      <c r="G16" s="12"/>
      <c r="H16" s="12"/>
      <c r="I16" s="28" t="str">
        <f aca="false">IF(D16="","",D16-C16)</f>
        <v/>
      </c>
      <c r="J16" s="29"/>
    </row>
    <row r="17" customFormat="false" ht="15" hidden="false" customHeight="false" outlineLevel="0" collapsed="false">
      <c r="A17" s="26" t="n">
        <v>46377</v>
      </c>
      <c r="B17" s="9" t="n">
        <v>3</v>
      </c>
      <c r="C17" s="27" t="n">
        <f aca="false">INDEX(Projeção!$B$7:$G$7,B17)/COUNTIF($B$5:$B$18,B17)</f>
        <v>20</v>
      </c>
      <c r="D17" s="10"/>
      <c r="E17" s="12"/>
      <c r="F17" s="12"/>
      <c r="G17" s="12"/>
      <c r="H17" s="12"/>
      <c r="I17" s="28" t="str">
        <f aca="false">IF(D17="","",D17-C17)</f>
        <v/>
      </c>
      <c r="J17" s="29"/>
    </row>
    <row r="18" customFormat="false" ht="15" hidden="false" customHeight="false" outlineLevel="0" collapsed="false">
      <c r="A18" s="26" t="n">
        <v>46384</v>
      </c>
      <c r="B18" s="9" t="n">
        <v>3</v>
      </c>
      <c r="C18" s="27" t="n">
        <f aca="false">INDEX(Projeção!$B$7:$G$7,B18)/COUNTIF($B$5:$B$18,B18)</f>
        <v>20</v>
      </c>
      <c r="D18" s="10"/>
      <c r="E18" s="12"/>
      <c r="F18" s="12"/>
      <c r="G18" s="12"/>
      <c r="H18" s="12"/>
      <c r="I18" s="28" t="str">
        <f aca="false">IF(D18="","",D18-C18)</f>
        <v/>
      </c>
      <c r="J18" s="29"/>
    </row>
    <row r="20" customFormat="false" ht="15" hidden="false" customHeight="false" outlineLevel="0" collapsed="false">
      <c r="A20" s="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2026-09-27T12:18:37Z</dcterms:created>
  <dc:creator>openpyxl</dc:creator>
  <dc:description/>
  <dc:language>en-US</dc:language>
  <cp:lastModifiedBy/>
  <dcterms:modified xsi:type="dcterms:W3CDTF">2026-09-27T12:18:37Z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